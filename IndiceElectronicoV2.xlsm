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4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Users\smartinv\Desktop\"/>
    </mc:Choice>
  </mc:AlternateContent>
  <xr:revisionPtr revIDLastSave="0" documentId="13_ncr:1_{9FEC1294-FD1D-43B1-B079-D6C2A3AF9BAC}" xr6:coauthVersionLast="36" xr6:coauthVersionMax="36" xr10:uidLastSave="{00000000-0000-0000-0000-000000000000}"/>
  <bookViews>
    <workbookView xWindow="0" yWindow="0" windowWidth="28800" windowHeight="12330" xr2:uid="{00000000-000D-0000-FFFF-FFFF00000000}"/>
  </bookViews>
  <sheets>
    <sheet name="IndiceElectronico" sheetId="1" r:id="rId1"/>
  </sheets>
  <functionGroups builtInGroupCount="19"/>
  <definedNames>
    <definedName name="_xlnm.Print_Area" localSheetId="0">IndiceElectronico!$A$1:$Q$39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23" i="1" l="1"/>
  <c r="J23" i="1" s="1"/>
  <c r="I24" i="1"/>
  <c r="J24" i="1" s="1"/>
  <c r="I25" i="1"/>
  <c r="J25" i="1" s="1"/>
  <c r="I26" i="1"/>
  <c r="J26" i="1" s="1"/>
  <c r="I27" i="1"/>
  <c r="J27" i="1" s="1"/>
  <c r="I28" i="1"/>
  <c r="J28" i="1" s="1"/>
  <c r="I29" i="1"/>
  <c r="J29" i="1" s="1"/>
  <c r="I30" i="1"/>
  <c r="J30" i="1" s="1"/>
  <c r="I31" i="1"/>
  <c r="J31" i="1" s="1"/>
  <c r="I32" i="1"/>
  <c r="J32" i="1" s="1"/>
  <c r="I33" i="1"/>
  <c r="J33" i="1" s="1"/>
  <c r="I34" i="1"/>
  <c r="J34" i="1" s="1"/>
  <c r="I35" i="1"/>
  <c r="J35" i="1" s="1"/>
  <c r="I36" i="1"/>
  <c r="J36" i="1" s="1"/>
  <c r="I18" i="1"/>
  <c r="J18" i="1" s="1"/>
  <c r="I19" i="1" s="1"/>
  <c r="J19" i="1" s="1"/>
  <c r="I20" i="1" s="1"/>
  <c r="J20" i="1" s="1"/>
  <c r="I21" i="1" s="1"/>
  <c r="J21" i="1" s="1"/>
  <c r="I22" i="1" s="1"/>
  <c r="J22" i="1" s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20" i="1"/>
  <c r="G19" i="1"/>
  <c r="G18" i="1"/>
</calcChain>
</file>

<file path=xl/sharedStrings.xml><?xml version="1.0" encoding="utf-8"?>
<sst xmlns="http://schemas.openxmlformats.org/spreadsheetml/2006/main" count="31" uniqueCount="31">
  <si>
    <t>ÍNDICE ELECTRÓNICO DEL EXPEDIENTE JUDICIAL</t>
  </si>
  <si>
    <t>EXPEDIENTE FÍSICO</t>
  </si>
  <si>
    <t>El expediente judicial posee expedientes físicos</t>
  </si>
  <si>
    <t>No. De carpetas (cuadernos) o tomos.</t>
  </si>
  <si>
    <t>No. De carpetas (cuadernos) o tomos digitalizados.</t>
  </si>
  <si>
    <t>Fecha Creación</t>
  </si>
  <si>
    <t>Fecha Incorporación</t>
  </si>
  <si>
    <t>Número Páginas</t>
  </si>
  <si>
    <t>Orden</t>
  </si>
  <si>
    <t>Página Inicio</t>
  </si>
  <si>
    <t>Página Fin</t>
  </si>
  <si>
    <t>Formato</t>
  </si>
  <si>
    <t>Tamaño</t>
  </si>
  <si>
    <t>Origen</t>
  </si>
  <si>
    <t>Observaciones</t>
  </si>
  <si>
    <t>Ciudad</t>
  </si>
  <si>
    <t>Despacho Juicial</t>
  </si>
  <si>
    <t>Serie o Subserie Documental</t>
  </si>
  <si>
    <t>No. Radicación del Proceso</t>
  </si>
  <si>
    <t>Partes Procesales (Parte A)</t>
  </si>
  <si>
    <t>Partes Procesales (Parte B)</t>
  </si>
  <si>
    <t>Terceros Intervinientes</t>
  </si>
  <si>
    <t>Cuaderno</t>
  </si>
  <si>
    <t>Nombre documento</t>
  </si>
  <si>
    <t>C01Principal</t>
  </si>
  <si>
    <t xml:space="preserve"> FECHA DE CIERRE DEL EXPEDIENTE:</t>
  </si>
  <si>
    <t>Número de Cuadernos del Expediente:
Diligencie al momento del archivo definitivo</t>
  </si>
  <si>
    <t>CSJCF-OECM</t>
  </si>
  <si>
    <t>SEC: CALDAS</t>
  </si>
  <si>
    <t>Rol: ADMIN</t>
  </si>
  <si>
    <t>V 2,1 Python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</si>
</sst>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;@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1"/>
      <color indexed="8"/>
      <name val="Calibri"/>
      <family val="2"/>
    </font>
    <font>
      <b/>
      <sz val="8"/>
      <color indexed="8"/>
      <name val="Calibri"/>
      <family val="2"/>
    </font>
    <font>
      <sz val="11"/>
      <color indexed="8"/>
      <name val="Calibri"/>
      <family val="2"/>
    </font>
    <font>
      <b/>
      <sz val="10"/>
      <color indexed="9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A6A6A6"/>
        <bgColor indexed="64"/>
      </patternFill>
    </fill>
    <fill>
      <patternFill patternType="solid">
        <fgColor rgb="FF2F75B5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67">
    <xf numFmtId="0" fontId="0" fillId="0" borderId="0" xfId="0"/>
    <xf numFmtId="0" fontId="1" fillId="0" borderId="2" xfId="0" applyFont="1" applyBorder="1" applyAlignment="1"/>
    <xf numFmtId="0" fontId="1" fillId="0" borderId="0" xfId="0" applyFont="1" applyBorder="1" applyAlignment="1"/>
    <xf numFmtId="49" fontId="0" fillId="0" borderId="0" xfId="0" applyNumberFormat="1"/>
    <xf numFmtId="0" fontId="0" fillId="0" borderId="0" xfId="0" applyAlignment="1">
      <alignment horizontal="right"/>
    </xf>
    <xf numFmtId="0" fontId="0" fillId="0" borderId="0" xfId="0" applyNumberFormat="1"/>
    <xf numFmtId="0" fontId="1" fillId="0" borderId="0" xfId="0" applyNumberFormat="1" applyFont="1" applyBorder="1" applyAlignment="1"/>
    <xf numFmtId="164" fontId="0" fillId="0" borderId="0" xfId="0" applyNumberFormat="1"/>
    <xf numFmtId="164" fontId="1" fillId="0" borderId="0" xfId="0" applyNumberFormat="1" applyFont="1" applyAlignment="1"/>
    <xf numFmtId="164" fontId="1" fillId="0" borderId="0" xfId="0" applyNumberFormat="1" applyFont="1" applyBorder="1" applyAlignment="1"/>
    <xf numFmtId="1" fontId="0" fillId="0" borderId="0" xfId="0" applyNumberFormat="1"/>
    <xf numFmtId="0" fontId="5" fillId="0" borderId="0" xfId="0" applyNumberFormat="1" applyFont="1" applyFill="1" applyBorder="1" applyAlignment="1" applyProtection="1"/>
    <xf numFmtId="0" fontId="4" fillId="2" borderId="14" xfId="0" applyNumberFormat="1" applyFont="1" applyFill="1" applyBorder="1" applyAlignment="1" applyProtection="1">
      <alignment horizontal="center" vertical="center"/>
    </xf>
    <xf numFmtId="164" fontId="4" fillId="2" borderId="14" xfId="0" applyNumberFormat="1" applyFont="1" applyFill="1" applyBorder="1" applyAlignment="1" applyProtection="1">
      <alignment horizontal="center" vertical="center"/>
    </xf>
    <xf numFmtId="164" fontId="4" fillId="2" borderId="14" xfId="0" applyNumberFormat="1" applyFont="1" applyFill="1" applyBorder="1" applyAlignment="1" applyProtection="1">
      <alignment horizontal="center" vertical="center" wrapText="1"/>
    </xf>
    <xf numFmtId="1" fontId="4" fillId="2" borderId="14" xfId="0" applyNumberFormat="1" applyFont="1" applyFill="1" applyBorder="1" applyAlignment="1" applyProtection="1">
      <alignment horizontal="center" vertical="center"/>
    </xf>
    <xf numFmtId="0" fontId="4" fillId="0" borderId="14" xfId="0" applyNumberFormat="1" applyFont="1" applyFill="1" applyBorder="1" applyAlignment="1" applyProtection="1">
      <alignment horizontal="center" vertical="center"/>
    </xf>
    <xf numFmtId="164" fontId="4" fillId="0" borderId="14" xfId="0" applyNumberFormat="1" applyFont="1" applyFill="1" applyBorder="1" applyAlignment="1" applyProtection="1">
      <alignment horizontal="center" vertical="center"/>
    </xf>
    <xf numFmtId="164" fontId="4" fillId="0" borderId="14" xfId="0" applyNumberFormat="1" applyFont="1" applyFill="1" applyBorder="1" applyAlignment="1" applyProtection="1">
      <alignment horizontal="center" vertical="center" wrapText="1"/>
    </xf>
    <xf numFmtId="164" fontId="4" fillId="0" borderId="0" xfId="0" applyNumberFormat="1" applyFont="1" applyFill="1" applyBorder="1" applyAlignment="1" applyProtection="1">
      <alignment horizontal="center" vertical="center" wrapText="1"/>
    </xf>
    <xf numFmtId="164" fontId="4" fillId="0" borderId="0" xfId="0" applyNumberFormat="1" applyFont="1" applyFill="1" applyBorder="1" applyAlignment="1" applyProtection="1">
      <alignment horizontal="center" vertical="center"/>
    </xf>
    <xf numFmtId="0" fontId="4" fillId="0" borderId="0" xfId="0" applyNumberFormat="1" applyFont="1" applyFill="1" applyBorder="1" applyAlignment="1" applyProtection="1">
      <alignment horizontal="center" vertical="center"/>
    </xf>
    <xf numFmtId="1" fontId="4" fillId="0" borderId="0" xfId="0" applyNumberFormat="1" applyFont="1" applyFill="1" applyBorder="1" applyAlignment="1" applyProtection="1">
      <alignment horizontal="center" vertical="center"/>
    </xf>
    <xf numFmtId="1" fontId="4" fillId="0" borderId="14" xfId="0" applyNumberFormat="1" applyFont="1" applyFill="1" applyBorder="1" applyAlignment="1" applyProtection="1">
      <alignment horizontal="center" vertical="center"/>
    </xf>
    <xf numFmtId="164" fontId="4" fillId="0" borderId="18" xfId="0" applyNumberFormat="1" applyFont="1" applyFill="1" applyBorder="1" applyAlignment="1" applyProtection="1">
      <alignment horizontal="center" vertical="center"/>
    </xf>
    <xf numFmtId="164" fontId="4" fillId="0" borderId="18" xfId="0" applyNumberFormat="1" applyFont="1" applyFill="1" applyBorder="1" applyAlignment="1" applyProtection="1">
      <alignment horizontal="center" vertical="center" wrapText="1"/>
    </xf>
    <xf numFmtId="0" fontId="6" fillId="3" borderId="15" xfId="0" applyNumberFormat="1" applyFont="1" applyFill="1" applyBorder="1" applyAlignment="1" applyProtection="1">
      <alignment horizontal="left" vertical="center"/>
    </xf>
    <xf numFmtId="0" fontId="6" fillId="3" borderId="17" xfId="0" applyNumberFormat="1" applyFont="1" applyFill="1" applyBorder="1" applyAlignment="1" applyProtection="1">
      <alignment horizontal="left" vertical="center"/>
    </xf>
    <xf numFmtId="0" fontId="6" fillId="3" borderId="16" xfId="0" applyNumberFormat="1" applyFont="1" applyFill="1" applyBorder="1" applyAlignment="1" applyProtection="1">
      <alignment horizontal="left" vertical="center"/>
    </xf>
    <xf numFmtId="0" fontId="4" fillId="0" borderId="18" xfId="0" applyNumberFormat="1" applyFont="1" applyFill="1" applyBorder="1" applyAlignment="1" applyProtection="1">
      <alignment horizontal="center" vertical="center"/>
    </xf>
    <xf numFmtId="0" fontId="4" fillId="0" borderId="15" xfId="0" applyNumberFormat="1" applyFont="1" applyFill="1" applyBorder="1" applyAlignment="1" applyProtection="1">
      <alignment horizontal="center" vertical="center"/>
    </xf>
    <xf numFmtId="0" fontId="4" fillId="0" borderId="17" xfId="0" applyNumberFormat="1" applyFont="1" applyFill="1" applyBorder="1" applyAlignment="1" applyProtection="1">
      <alignment horizontal="center" vertical="center"/>
    </xf>
    <xf numFmtId="0" fontId="4" fillId="0" borderId="16" xfId="0" applyNumberFormat="1" applyFont="1" applyFill="1" applyBorder="1" applyAlignment="1" applyProtection="1">
      <alignment horizontal="center" vertical="center"/>
    </xf>
    <xf numFmtId="0" fontId="4" fillId="0" borderId="18" xfId="0" applyNumberFormat="1" applyFont="1" applyFill="1" applyBorder="1" applyAlignment="1" applyProtection="1">
      <alignment horizontal="center" vertical="center"/>
    </xf>
    <xf numFmtId="0" fontId="3" fillId="0" borderId="11" xfId="0" applyNumberFormat="1" applyFont="1" applyFill="1" applyBorder="1" applyAlignment="1" applyProtection="1">
      <alignment horizontal="left"/>
    </xf>
    <xf numFmtId="0" fontId="3" fillId="0" borderId="13" xfId="0" applyNumberFormat="1" applyFont="1" applyFill="1" applyBorder="1" applyAlignment="1" applyProtection="1">
      <alignment horizontal="left"/>
    </xf>
    <xf numFmtId="0" fontId="3" fillId="0" borderId="12" xfId="0" applyNumberFormat="1" applyFont="1" applyFill="1" applyBorder="1" applyAlignment="1" applyProtection="1">
      <alignment horizontal="left"/>
    </xf>
    <xf numFmtId="0" fontId="2" fillId="0" borderId="2" xfId="0" applyFont="1" applyBorder="1" applyAlignment="1">
      <alignment horizontal="left" vertical="center"/>
    </xf>
    <xf numFmtId="0" fontId="0" fillId="0" borderId="0" xfId="0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6" xfId="0" applyFont="1" applyBorder="1" applyAlignment="1">
      <alignment horizontal="left" wrapText="1"/>
    </xf>
    <xf numFmtId="0" fontId="1" fillId="0" borderId="5" xfId="0" applyFont="1" applyBorder="1" applyAlignment="1">
      <alignment horizontal="left" wrapText="1"/>
    </xf>
    <xf numFmtId="0" fontId="1" fillId="0" borderId="8" xfId="0" applyFont="1" applyBorder="1" applyAlignment="1">
      <alignment horizontal="left" wrapText="1"/>
    </xf>
    <xf numFmtId="0" fontId="1" fillId="0" borderId="9" xfId="0" applyFont="1" applyBorder="1" applyAlignment="1">
      <alignment horizontal="left" wrapText="1"/>
    </xf>
    <xf numFmtId="0" fontId="1" fillId="0" borderId="1" xfId="0" applyFont="1" applyBorder="1" applyAlignment="1">
      <alignment horizontal="left" wrapText="1"/>
    </xf>
    <xf numFmtId="0" fontId="1" fillId="0" borderId="10" xfId="0" applyFont="1" applyBorder="1" applyAlignment="1">
      <alignment horizontal="left" wrapText="1"/>
    </xf>
    <xf numFmtId="0" fontId="1" fillId="0" borderId="6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49" fontId="2" fillId="0" borderId="2" xfId="0" applyNumberFormat="1" applyFont="1" applyBorder="1" applyAlignment="1">
      <alignment horizontal="left" vertical="center"/>
    </xf>
    <xf numFmtId="0" fontId="4" fillId="2" borderId="15" xfId="0" applyNumberFormat="1" applyFont="1" applyFill="1" applyBorder="1" applyAlignment="1" applyProtection="1">
      <alignment horizontal="center" vertical="center"/>
    </xf>
    <xf numFmtId="0" fontId="4" fillId="2" borderId="17" xfId="0" applyNumberFormat="1" applyFont="1" applyFill="1" applyBorder="1" applyAlignment="1" applyProtection="1">
      <alignment horizontal="center" vertical="center"/>
    </xf>
    <xf numFmtId="0" fontId="4" fillId="2" borderId="16" xfId="0" applyNumberFormat="1" applyFont="1" applyFill="1" applyBorder="1" applyAlignment="1" applyProtection="1">
      <alignment horizontal="center" vertical="center"/>
    </xf>
    <xf numFmtId="22" fontId="6" fillId="3" borderId="15" xfId="0" applyNumberFormat="1" applyFont="1" applyFill="1" applyBorder="1" applyAlignment="1" applyProtection="1">
      <alignment horizontal="left" vertical="center"/>
    </xf>
    <xf numFmtId="0" fontId="6" fillId="3" borderId="17" xfId="0" applyNumberFormat="1" applyFont="1" applyFill="1" applyBorder="1" applyAlignment="1" applyProtection="1">
      <alignment horizontal="left" vertical="center"/>
    </xf>
    <xf numFmtId="0" fontId="6" fillId="3" borderId="16" xfId="0" applyNumberFormat="1" applyFont="1" applyFill="1" applyBorder="1" applyAlignment="1" applyProtection="1">
      <alignment horizontal="left" vertical="center"/>
    </xf>
    <xf numFmtId="0" fontId="4" fillId="0" borderId="15" xfId="0" applyNumberFormat="1" applyFont="1" applyFill="1" applyBorder="1" applyAlignment="1" applyProtection="1">
      <alignment horizontal="left" vertical="center" wrapText="1"/>
    </xf>
    <xf numFmtId="0" fontId="4" fillId="0" borderId="17" xfId="0" applyNumberFormat="1" applyFont="1" applyFill="1" applyBorder="1" applyAlignment="1" applyProtection="1">
      <alignment horizontal="left" vertical="center" wrapText="1"/>
    </xf>
    <xf numFmtId="0" fontId="4" fillId="0" borderId="16" xfId="0" applyNumberFormat="1" applyFont="1" applyFill="1" applyBorder="1" applyAlignment="1" applyProtection="1">
      <alignment horizontal="left" vertical="center" wrapText="1"/>
    </xf>
    <xf numFmtId="0" fontId="4" fillId="0" borderId="0" xfId="0" applyNumberFormat="1" applyFont="1" applyFill="1" applyBorder="1" applyAlignment="1" applyProtection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123825</xdr:colOff>
      <xdr:row>0</xdr:row>
      <xdr:rowOff>85725</xdr:rowOff>
    </xdr:from>
    <xdr:to>
      <xdr:col>4</xdr:col>
      <xdr:colOff>7316</xdr:colOff>
      <xdr:row>4</xdr:row>
      <xdr:rowOff>114201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3825" y="85725"/>
          <a:ext cx="2455241" cy="79047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sPrueba1"/>
  <dimension ref="A2:S38"/>
  <sheetViews>
    <sheetView showGridLines="0" tabSelected="1" view="pageBreakPreview" zoomScaleNormal="100" zoomScaleSheetLayoutView="100" workbookViewId="0">
      <selection activeCell="Q1" sqref="Q1"/>
    </sheetView>
  </sheetViews>
  <sheetFormatPr baseColWidth="10" defaultRowHeight="15" x14ac:dyDescent="0.25"/>
  <cols>
    <col min="1" max="1" width="3.42578125" customWidth="1"/>
    <col min="2" max="3" width="11.5703125" customWidth="1"/>
    <col min="4" max="4" width="12" customWidth="1"/>
    <col min="5" max="6" width="11.42578125" style="7" customWidth="1"/>
    <col min="7" max="7" width="11.42578125" style="5" customWidth="1"/>
    <col min="8" max="8" width="11.42578125" style="10" customWidth="1"/>
    <col min="9" max="10" width="11.42578125" style="5" customWidth="1"/>
    <col min="11" max="14" width="11.5703125" customWidth="1"/>
    <col min="15" max="15" width="11.42578125" customWidth="1"/>
    <col min="16" max="16" width="11.5703125" customWidth="1"/>
    <col min="17" max="17" width="4.28515625" customWidth="1"/>
  </cols>
  <sheetData>
    <row r="2" spans="1:16" x14ac:dyDescent="0.25">
      <c r="A2" s="4"/>
      <c r="C2">
        <v>0</v>
      </c>
      <c r="D2" t="s">
        <v>27</v>
      </c>
    </row>
    <row r="3" spans="1:16" x14ac:dyDescent="0.25">
      <c r="C3">
        <v>0</v>
      </c>
      <c r="D3" t="s">
        <v>28</v>
      </c>
      <c r="F3" s="8"/>
      <c r="G3" s="40" t="s">
        <v>0</v>
      </c>
      <c r="H3" s="40"/>
      <c r="I3" s="40"/>
      <c r="J3" s="40"/>
      <c r="K3" s="40"/>
    </row>
    <row r="4" spans="1:16" x14ac:dyDescent="0.25">
      <c r="C4" t="s">
        <v>30</v>
      </c>
      <c r="D4" t="s">
        <v>29</v>
      </c>
    </row>
    <row r="6" spans="1:16" x14ac:dyDescent="0.25">
      <c r="B6" s="34" t="s">
        <v>15</v>
      </c>
      <c r="C6" s="35"/>
      <c r="D6" s="36"/>
      <c r="E6" s="37"/>
      <c r="F6" s="37"/>
      <c r="G6" s="37"/>
      <c r="H6" s="37"/>
      <c r="I6" s="37"/>
      <c r="J6" s="37"/>
      <c r="L6" s="41" t="s">
        <v>1</v>
      </c>
      <c r="M6" s="42"/>
      <c r="N6" s="42"/>
      <c r="O6" s="42"/>
      <c r="P6" s="43"/>
    </row>
    <row r="7" spans="1:16" ht="15" customHeight="1" x14ac:dyDescent="0.25">
      <c r="B7" s="34" t="s">
        <v>16</v>
      </c>
      <c r="C7" s="35"/>
      <c r="D7" s="36"/>
      <c r="E7" s="37"/>
      <c r="F7" s="37"/>
      <c r="G7" s="37"/>
      <c r="H7" s="37"/>
      <c r="I7" s="37"/>
      <c r="J7" s="37"/>
      <c r="L7" s="44" t="s">
        <v>2</v>
      </c>
      <c r="M7" s="45"/>
      <c r="N7" s="46"/>
      <c r="O7" s="50"/>
      <c r="P7" s="51"/>
    </row>
    <row r="8" spans="1:16" x14ac:dyDescent="0.25">
      <c r="B8" s="34" t="s">
        <v>17</v>
      </c>
      <c r="C8" s="35"/>
      <c r="D8" s="36"/>
      <c r="E8" s="37"/>
      <c r="F8" s="37"/>
      <c r="G8" s="37"/>
      <c r="H8" s="37"/>
      <c r="I8" s="37"/>
      <c r="J8" s="37"/>
      <c r="L8" s="47"/>
      <c r="M8" s="48"/>
      <c r="N8" s="49"/>
      <c r="O8" s="52"/>
      <c r="P8" s="53"/>
    </row>
    <row r="9" spans="1:16" x14ac:dyDescent="0.25">
      <c r="B9" s="34" t="s">
        <v>18</v>
      </c>
      <c r="C9" s="35"/>
      <c r="D9" s="36"/>
      <c r="E9" s="56"/>
      <c r="F9" s="56"/>
      <c r="G9" s="56"/>
      <c r="H9" s="56"/>
      <c r="I9" s="56"/>
      <c r="J9" s="56"/>
      <c r="L9" s="1" t="s">
        <v>3</v>
      </c>
      <c r="M9" s="1"/>
      <c r="N9" s="1"/>
      <c r="O9" s="54"/>
      <c r="P9" s="55"/>
    </row>
    <row r="10" spans="1:16" ht="15" customHeight="1" x14ac:dyDescent="0.25">
      <c r="B10" s="34" t="s">
        <v>19</v>
      </c>
      <c r="C10" s="35"/>
      <c r="D10" s="36"/>
      <c r="E10" s="37"/>
      <c r="F10" s="37"/>
      <c r="G10" s="37"/>
      <c r="H10" s="37"/>
      <c r="I10" s="37"/>
      <c r="J10" s="37"/>
      <c r="L10" s="44" t="s">
        <v>4</v>
      </c>
      <c r="M10" s="45"/>
      <c r="N10" s="46"/>
      <c r="O10" s="50"/>
      <c r="P10" s="51"/>
    </row>
    <row r="11" spans="1:16" ht="15" customHeight="1" x14ac:dyDescent="0.25">
      <c r="B11" s="34" t="s">
        <v>20</v>
      </c>
      <c r="C11" s="35"/>
      <c r="D11" s="36"/>
      <c r="E11" s="37"/>
      <c r="F11" s="37"/>
      <c r="G11" s="37"/>
      <c r="H11" s="37"/>
      <c r="I11" s="37"/>
      <c r="J11" s="37"/>
      <c r="L11" s="47"/>
      <c r="M11" s="48"/>
      <c r="N11" s="49"/>
      <c r="O11" s="52"/>
      <c r="P11" s="53"/>
    </row>
    <row r="12" spans="1:16" x14ac:dyDescent="0.25">
      <c r="B12" s="34" t="s">
        <v>21</v>
      </c>
      <c r="C12" s="35"/>
      <c r="D12" s="36"/>
      <c r="E12" s="37"/>
      <c r="F12" s="37"/>
      <c r="G12" s="37"/>
      <c r="H12" s="37"/>
      <c r="I12" s="37"/>
      <c r="J12" s="37"/>
    </row>
    <row r="13" spans="1:16" x14ac:dyDescent="0.25">
      <c r="B13" s="34" t="s">
        <v>22</v>
      </c>
      <c r="C13" s="35"/>
      <c r="D13" s="36"/>
      <c r="E13" s="37" t="s">
        <v>24</v>
      </c>
      <c r="F13" s="37"/>
      <c r="G13" s="37"/>
      <c r="H13" s="37"/>
      <c r="I13" s="37"/>
      <c r="J13" s="37"/>
      <c r="N13" s="38"/>
      <c r="O13" s="38"/>
    </row>
    <row r="14" spans="1:16" x14ac:dyDescent="0.25">
      <c r="M14" s="39"/>
      <c r="N14" s="39"/>
    </row>
    <row r="15" spans="1:16" x14ac:dyDescent="0.25">
      <c r="C15" s="2"/>
      <c r="D15" s="2"/>
      <c r="E15" s="9"/>
      <c r="F15" s="9"/>
      <c r="G15" s="6"/>
    </row>
    <row r="16" spans="1:16" x14ac:dyDescent="0.25">
      <c r="O16" s="38"/>
      <c r="P16" s="38"/>
    </row>
    <row r="17" spans="2:19" ht="22.5" x14ac:dyDescent="0.25">
      <c r="B17" s="57" t="s">
        <v>23</v>
      </c>
      <c r="C17" s="58"/>
      <c r="D17" s="59"/>
      <c r="E17" s="13" t="s">
        <v>5</v>
      </c>
      <c r="F17" s="14" t="s">
        <v>6</v>
      </c>
      <c r="G17" s="12" t="s">
        <v>8</v>
      </c>
      <c r="H17" s="15" t="s">
        <v>7</v>
      </c>
      <c r="I17" s="12" t="s">
        <v>9</v>
      </c>
      <c r="J17" s="12" t="s">
        <v>10</v>
      </c>
      <c r="K17" s="12" t="s">
        <v>11</v>
      </c>
      <c r="L17" s="12" t="s">
        <v>12</v>
      </c>
      <c r="M17" s="12" t="s">
        <v>13</v>
      </c>
      <c r="N17" s="57" t="s">
        <v>14</v>
      </c>
      <c r="O17" s="58"/>
      <c r="P17" s="59"/>
      <c r="S17" s="3"/>
    </row>
    <row r="18" spans="2:19" x14ac:dyDescent="0.25">
      <c r="B18" s="30"/>
      <c r="C18" s="31"/>
      <c r="D18" s="32"/>
      <c r="E18" s="17"/>
      <c r="F18" s="18"/>
      <c r="G18" s="16" t="str">
        <f>IF(ISTEXT(B18),"1"," ")</f>
        <v xml:space="preserve"> </v>
      </c>
      <c r="H18" s="23"/>
      <c r="I18" s="16" t="str">
        <f>IF(H18=0,"-","1")</f>
        <v>-</v>
      </c>
      <c r="J18" s="16" t="str">
        <f>IF(I18="-","-",I18+(H18-I18))</f>
        <v>-</v>
      </c>
      <c r="K18" s="16"/>
      <c r="L18" s="16"/>
      <c r="M18" s="16"/>
      <c r="N18" s="30"/>
      <c r="O18" s="31"/>
      <c r="P18" s="32"/>
      <c r="S18" s="3"/>
    </row>
    <row r="19" spans="2:19" x14ac:dyDescent="0.25">
      <c r="B19" s="30"/>
      <c r="C19" s="31"/>
      <c r="D19" s="32"/>
      <c r="E19" s="17"/>
      <c r="F19" s="18"/>
      <c r="G19" s="16" t="str">
        <f>IF(ISTEXT(B19),G18+1,"")</f>
        <v/>
      </c>
      <c r="H19" s="23"/>
      <c r="I19" s="16" t="str">
        <f>IF(H19=0,"-",(1+J18))</f>
        <v>-</v>
      </c>
      <c r="J19" s="16" t="str">
        <f>IF(I19="-","-",(I19+(H19 - 1)))</f>
        <v>-</v>
      </c>
      <c r="K19" s="16"/>
      <c r="L19" s="16"/>
      <c r="M19" s="16"/>
      <c r="N19" s="30"/>
      <c r="O19" s="31"/>
      <c r="P19" s="32"/>
      <c r="S19" s="3"/>
    </row>
    <row r="20" spans="2:19" x14ac:dyDescent="0.25">
      <c r="B20" s="30"/>
      <c r="C20" s="31"/>
      <c r="D20" s="32"/>
      <c r="E20" s="17"/>
      <c r="F20" s="18"/>
      <c r="G20" s="16" t="str">
        <f>IF(ISTEXT(B20),G19+1,"")</f>
        <v/>
      </c>
      <c r="H20" s="23"/>
      <c r="I20" s="16" t="str">
        <f>IF(H20=0,"-",(1+J19))</f>
        <v>-</v>
      </c>
      <c r="J20" s="16" t="str">
        <f>IF(I20="-","-",(I20+(H20 - 1)))</f>
        <v>-</v>
      </c>
      <c r="K20" s="16"/>
      <c r="L20" s="16"/>
      <c r="M20" s="16"/>
      <c r="N20" s="30"/>
      <c r="O20" s="31"/>
      <c r="P20" s="32"/>
      <c r="S20" s="3"/>
    </row>
    <row r="21" spans="2:19" x14ac:dyDescent="0.25">
      <c r="B21" s="30"/>
      <c r="C21" s="31"/>
      <c r="D21" s="32"/>
      <c r="E21" s="17"/>
      <c r="F21" s="18"/>
      <c r="G21" s="16" t="str">
        <f t="shared" ref="G21:G36" si="0">IF(ISTEXT(B21),G20+1,"")</f>
        <v/>
      </c>
      <c r="H21" s="16"/>
      <c r="I21" s="16" t="str">
        <f t="shared" ref="I21:I36" si="1">IF(H21=0,"-",(1+J20))</f>
        <v>-</v>
      </c>
      <c r="J21" s="16" t="str">
        <f t="shared" ref="J21:J36" si="2">IF(I21="-","-",(I21+(H21 - 1)))</f>
        <v>-</v>
      </c>
      <c r="K21" s="16"/>
      <c r="L21" s="16"/>
      <c r="M21" s="16"/>
      <c r="N21" s="30"/>
      <c r="O21" s="31"/>
      <c r="P21" s="32"/>
      <c r="S21" s="3"/>
    </row>
    <row r="22" spans="2:19" x14ac:dyDescent="0.25">
      <c r="B22" s="30"/>
      <c r="C22" s="31"/>
      <c r="D22" s="32"/>
      <c r="E22" s="17"/>
      <c r="F22" s="18"/>
      <c r="G22" s="16" t="str">
        <f t="shared" si="0"/>
        <v/>
      </c>
      <c r="H22" s="16"/>
      <c r="I22" s="16" t="str">
        <f t="shared" si="1"/>
        <v>-</v>
      </c>
      <c r="J22" s="16" t="str">
        <f t="shared" si="2"/>
        <v>-</v>
      </c>
      <c r="K22" s="16"/>
      <c r="L22" s="16"/>
      <c r="M22" s="16"/>
      <c r="N22" s="30"/>
      <c r="O22" s="31"/>
      <c r="P22" s="32"/>
      <c r="S22" s="3"/>
    </row>
    <row r="23" spans="2:19" x14ac:dyDescent="0.25">
      <c r="B23" s="30"/>
      <c r="C23" s="31"/>
      <c r="D23" s="32"/>
      <c r="E23" s="17"/>
      <c r="F23" s="18"/>
      <c r="G23" s="16" t="str">
        <f t="shared" si="0"/>
        <v/>
      </c>
      <c r="H23" s="16"/>
      <c r="I23" s="16" t="str">
        <f t="shared" si="1"/>
        <v>-</v>
      </c>
      <c r="J23" s="16" t="str">
        <f t="shared" si="2"/>
        <v>-</v>
      </c>
      <c r="K23" s="16"/>
      <c r="L23" s="16"/>
      <c r="M23" s="16"/>
      <c r="N23" s="30"/>
      <c r="O23" s="31"/>
      <c r="P23" s="32"/>
      <c r="S23" s="3"/>
    </row>
    <row r="24" spans="2:19" x14ac:dyDescent="0.25">
      <c r="B24" s="30"/>
      <c r="C24" s="31"/>
      <c r="D24" s="32"/>
      <c r="E24" s="17"/>
      <c r="F24" s="18"/>
      <c r="G24" s="16" t="str">
        <f t="shared" si="0"/>
        <v/>
      </c>
      <c r="H24" s="16"/>
      <c r="I24" s="16" t="str">
        <f t="shared" si="1"/>
        <v>-</v>
      </c>
      <c r="J24" s="16" t="str">
        <f t="shared" si="2"/>
        <v>-</v>
      </c>
      <c r="K24" s="16"/>
      <c r="L24" s="16"/>
      <c r="M24" s="16"/>
      <c r="N24" s="30"/>
      <c r="O24" s="31"/>
      <c r="P24" s="32"/>
      <c r="S24" s="3"/>
    </row>
    <row r="25" spans="2:19" x14ac:dyDescent="0.25">
      <c r="B25" s="30"/>
      <c r="C25" s="31"/>
      <c r="D25" s="32"/>
      <c r="E25" s="17"/>
      <c r="F25" s="18"/>
      <c r="G25" s="16" t="str">
        <f t="shared" si="0"/>
        <v/>
      </c>
      <c r="H25" s="16"/>
      <c r="I25" s="16" t="str">
        <f t="shared" si="1"/>
        <v>-</v>
      </c>
      <c r="J25" s="16" t="str">
        <f t="shared" si="2"/>
        <v>-</v>
      </c>
      <c r="K25" s="16"/>
      <c r="L25" s="16"/>
      <c r="M25" s="16"/>
      <c r="N25" s="30"/>
      <c r="O25" s="31"/>
      <c r="P25" s="32"/>
      <c r="S25" s="3"/>
    </row>
    <row r="26" spans="2:19" x14ac:dyDescent="0.25">
      <c r="B26" s="30"/>
      <c r="C26" s="31"/>
      <c r="D26" s="32"/>
      <c r="E26" s="17"/>
      <c r="F26" s="18"/>
      <c r="G26" s="16" t="str">
        <f t="shared" si="0"/>
        <v/>
      </c>
      <c r="H26" s="16"/>
      <c r="I26" s="16" t="str">
        <f t="shared" si="1"/>
        <v>-</v>
      </c>
      <c r="J26" s="16" t="str">
        <f t="shared" si="2"/>
        <v>-</v>
      </c>
      <c r="K26" s="16"/>
      <c r="L26" s="16"/>
      <c r="M26" s="16"/>
      <c r="N26" s="30"/>
      <c r="O26" s="31"/>
      <c r="P26" s="32"/>
      <c r="S26" s="3"/>
    </row>
    <row r="27" spans="2:19" x14ac:dyDescent="0.25">
      <c r="B27" s="30"/>
      <c r="C27" s="31"/>
      <c r="D27" s="32"/>
      <c r="E27" s="17"/>
      <c r="F27" s="18"/>
      <c r="G27" s="16" t="str">
        <f t="shared" si="0"/>
        <v/>
      </c>
      <c r="H27" s="16"/>
      <c r="I27" s="16" t="str">
        <f t="shared" si="1"/>
        <v>-</v>
      </c>
      <c r="J27" s="16" t="str">
        <f t="shared" si="2"/>
        <v>-</v>
      </c>
      <c r="K27" s="16"/>
      <c r="L27" s="16"/>
      <c r="M27" s="16"/>
      <c r="N27" s="30"/>
      <c r="O27" s="31"/>
      <c r="P27" s="32"/>
      <c r="S27" s="3"/>
    </row>
    <row r="28" spans="2:19" x14ac:dyDescent="0.25">
      <c r="B28" s="30"/>
      <c r="C28" s="31"/>
      <c r="D28" s="32"/>
      <c r="E28" s="17"/>
      <c r="F28" s="18"/>
      <c r="G28" s="16" t="str">
        <f t="shared" si="0"/>
        <v/>
      </c>
      <c r="H28" s="16"/>
      <c r="I28" s="16" t="str">
        <f t="shared" si="1"/>
        <v>-</v>
      </c>
      <c r="J28" s="16" t="str">
        <f t="shared" si="2"/>
        <v>-</v>
      </c>
      <c r="K28" s="16"/>
      <c r="L28" s="16"/>
      <c r="M28" s="16"/>
      <c r="N28" s="30"/>
      <c r="O28" s="31"/>
      <c r="P28" s="32"/>
      <c r="S28" s="3"/>
    </row>
    <row r="29" spans="2:19" x14ac:dyDescent="0.25">
      <c r="B29" s="30"/>
      <c r="C29" s="31"/>
      <c r="D29" s="32"/>
      <c r="E29" s="17"/>
      <c r="F29" s="18"/>
      <c r="G29" s="16" t="str">
        <f t="shared" si="0"/>
        <v/>
      </c>
      <c r="H29" s="16"/>
      <c r="I29" s="16" t="str">
        <f t="shared" si="1"/>
        <v>-</v>
      </c>
      <c r="J29" s="16" t="str">
        <f t="shared" si="2"/>
        <v>-</v>
      </c>
      <c r="K29" s="16"/>
      <c r="L29" s="16"/>
      <c r="M29" s="16"/>
      <c r="N29" s="30"/>
      <c r="O29" s="31"/>
      <c r="P29" s="32"/>
      <c r="S29" s="3"/>
    </row>
    <row r="30" spans="2:19" x14ac:dyDescent="0.25">
      <c r="B30" s="30"/>
      <c r="C30" s="31"/>
      <c r="D30" s="32"/>
      <c r="E30" s="17"/>
      <c r="F30" s="18"/>
      <c r="G30" s="16" t="str">
        <f t="shared" si="0"/>
        <v/>
      </c>
      <c r="H30" s="16"/>
      <c r="I30" s="16" t="str">
        <f t="shared" si="1"/>
        <v>-</v>
      </c>
      <c r="J30" s="16" t="str">
        <f t="shared" si="2"/>
        <v>-</v>
      </c>
      <c r="K30" s="16"/>
      <c r="L30" s="16"/>
      <c r="M30" s="16"/>
      <c r="N30" s="30"/>
      <c r="O30" s="31"/>
      <c r="P30" s="32"/>
      <c r="S30" s="3"/>
    </row>
    <row r="31" spans="2:19" x14ac:dyDescent="0.25">
      <c r="B31" s="30"/>
      <c r="C31" s="31"/>
      <c r="D31" s="32"/>
      <c r="E31" s="17"/>
      <c r="F31" s="18"/>
      <c r="G31" s="16" t="str">
        <f t="shared" si="0"/>
        <v/>
      </c>
      <c r="H31" s="16"/>
      <c r="I31" s="16" t="str">
        <f t="shared" si="1"/>
        <v>-</v>
      </c>
      <c r="J31" s="16" t="str">
        <f t="shared" si="2"/>
        <v>-</v>
      </c>
      <c r="K31" s="16"/>
      <c r="L31" s="16"/>
      <c r="M31" s="16"/>
      <c r="N31" s="30"/>
      <c r="O31" s="31"/>
      <c r="P31" s="32"/>
      <c r="S31" s="3"/>
    </row>
    <row r="32" spans="2:19" x14ac:dyDescent="0.25">
      <c r="B32" s="33"/>
      <c r="C32" s="33"/>
      <c r="D32" s="33"/>
      <c r="E32" s="24"/>
      <c r="F32" s="25"/>
      <c r="G32" s="16" t="str">
        <f t="shared" si="0"/>
        <v/>
      </c>
      <c r="H32" s="29"/>
      <c r="I32" s="16" t="str">
        <f t="shared" si="1"/>
        <v>-</v>
      </c>
      <c r="J32" s="16" t="str">
        <f t="shared" si="2"/>
        <v>-</v>
      </c>
      <c r="K32" s="29"/>
      <c r="L32" s="29"/>
      <c r="M32" s="29"/>
      <c r="N32" s="33"/>
      <c r="O32" s="33"/>
      <c r="P32" s="33"/>
      <c r="S32" s="3"/>
    </row>
    <row r="33" spans="2:19" x14ac:dyDescent="0.25">
      <c r="B33" s="33"/>
      <c r="C33" s="33"/>
      <c r="D33" s="33"/>
      <c r="E33" s="24"/>
      <c r="F33" s="25"/>
      <c r="G33" s="16" t="str">
        <f t="shared" si="0"/>
        <v/>
      </c>
      <c r="H33" s="29"/>
      <c r="I33" s="16" t="str">
        <f t="shared" si="1"/>
        <v>-</v>
      </c>
      <c r="J33" s="16" t="str">
        <f t="shared" si="2"/>
        <v>-</v>
      </c>
      <c r="K33" s="29"/>
      <c r="L33" s="29"/>
      <c r="M33" s="29"/>
      <c r="N33" s="33"/>
      <c r="O33" s="33"/>
      <c r="P33" s="33"/>
      <c r="S33" s="3"/>
    </row>
    <row r="34" spans="2:19" x14ac:dyDescent="0.25">
      <c r="B34" s="33"/>
      <c r="C34" s="33"/>
      <c r="D34" s="33"/>
      <c r="E34" s="24"/>
      <c r="F34" s="25"/>
      <c r="G34" s="16" t="str">
        <f t="shared" si="0"/>
        <v/>
      </c>
      <c r="H34" s="29"/>
      <c r="I34" s="16" t="str">
        <f t="shared" si="1"/>
        <v>-</v>
      </c>
      <c r="J34" s="16" t="str">
        <f t="shared" si="2"/>
        <v>-</v>
      </c>
      <c r="K34" s="29"/>
      <c r="L34" s="29"/>
      <c r="M34" s="29"/>
      <c r="N34" s="33"/>
      <c r="O34" s="33"/>
      <c r="P34" s="33"/>
      <c r="S34" s="3"/>
    </row>
    <row r="35" spans="2:19" x14ac:dyDescent="0.25">
      <c r="B35" s="30"/>
      <c r="C35" s="31"/>
      <c r="D35" s="32"/>
      <c r="E35" s="17"/>
      <c r="F35" s="18"/>
      <c r="G35" s="16" t="str">
        <f t="shared" si="0"/>
        <v/>
      </c>
      <c r="H35" s="16"/>
      <c r="I35" s="16" t="str">
        <f t="shared" si="1"/>
        <v>-</v>
      </c>
      <c r="J35" s="16" t="str">
        <f t="shared" si="2"/>
        <v>-</v>
      </c>
      <c r="K35" s="16"/>
      <c r="L35" s="16"/>
      <c r="M35" s="16"/>
      <c r="N35" s="30"/>
      <c r="O35" s="31"/>
      <c r="P35" s="32"/>
      <c r="S35" s="3"/>
    </row>
    <row r="36" spans="2:19" x14ac:dyDescent="0.25">
      <c r="B36" s="30"/>
      <c r="C36" s="31"/>
      <c r="D36" s="32"/>
      <c r="E36" s="17"/>
      <c r="F36" s="18"/>
      <c r="G36" s="16" t="str">
        <f t="shared" si="0"/>
        <v/>
      </c>
      <c r="H36" s="16"/>
      <c r="I36" s="16" t="str">
        <f t="shared" si="1"/>
        <v>-</v>
      </c>
      <c r="J36" s="16" t="str">
        <f t="shared" si="2"/>
        <v>-</v>
      </c>
      <c r="K36" s="16"/>
      <c r="L36" s="16"/>
      <c r="M36" s="16"/>
      <c r="N36" s="30"/>
      <c r="O36" s="31"/>
      <c r="P36" s="32"/>
      <c r="S36" s="3"/>
    </row>
    <row r="37" spans="2:19" x14ac:dyDescent="0.25">
      <c r="B37" s="26" t="s">
        <v>25</v>
      </c>
      <c r="C37" s="27"/>
      <c r="D37" s="28"/>
      <c r="E37" s="60"/>
      <c r="F37" s="61"/>
      <c r="G37" s="61"/>
      <c r="H37" s="61"/>
      <c r="I37" s="61"/>
      <c r="J37" s="61"/>
      <c r="K37" s="61"/>
      <c r="L37" s="61"/>
      <c r="M37" s="61"/>
      <c r="N37" s="61"/>
      <c r="O37" s="61"/>
      <c r="P37" s="62"/>
    </row>
    <row r="38" spans="2:19" ht="22.5" customHeight="1" x14ac:dyDescent="0.25">
      <c r="B38" s="63" t="s">
        <v>26</v>
      </c>
      <c r="C38" s="64"/>
      <c r="D38" s="65"/>
      <c r="E38" s="19"/>
      <c r="F38" s="20"/>
      <c r="G38" s="21"/>
      <c r="H38" s="22"/>
      <c r="I38" s="21"/>
      <c r="J38" s="21"/>
      <c r="K38" s="21"/>
      <c r="L38" s="21"/>
      <c r="M38" s="66"/>
      <c r="N38" s="66"/>
      <c r="O38" s="11"/>
      <c r="P38" s="11"/>
    </row>
  </sheetData>
  <mergeCells count="69">
    <mergeCell ref="E37:P37"/>
    <mergeCell ref="B38:D38"/>
    <mergeCell ref="M38:N38"/>
    <mergeCell ref="B19:D19"/>
    <mergeCell ref="N19:P19"/>
    <mergeCell ref="B20:D20"/>
    <mergeCell ref="N20:P20"/>
    <mergeCell ref="B21:D21"/>
    <mergeCell ref="N21:P21"/>
    <mergeCell ref="B22:D22"/>
    <mergeCell ref="N22:P22"/>
    <mergeCell ref="B23:D23"/>
    <mergeCell ref="N23:P23"/>
    <mergeCell ref="B24:D24"/>
    <mergeCell ref="N24:P24"/>
    <mergeCell ref="N30:P30"/>
    <mergeCell ref="B17:D17"/>
    <mergeCell ref="N17:P17"/>
    <mergeCell ref="B18:D18"/>
    <mergeCell ref="N18:P18"/>
    <mergeCell ref="N28:P28"/>
    <mergeCell ref="B29:D29"/>
    <mergeCell ref="N29:P29"/>
    <mergeCell ref="B30:D30"/>
    <mergeCell ref="N25:P25"/>
    <mergeCell ref="N26:P26"/>
    <mergeCell ref="N27:P27"/>
    <mergeCell ref="N13:O13"/>
    <mergeCell ref="M14:N14"/>
    <mergeCell ref="O16:P16"/>
    <mergeCell ref="G3:K3"/>
    <mergeCell ref="L6:P6"/>
    <mergeCell ref="L7:N8"/>
    <mergeCell ref="O7:P8"/>
    <mergeCell ref="E6:J6"/>
    <mergeCell ref="E7:J7"/>
    <mergeCell ref="E8:J8"/>
    <mergeCell ref="O9:P9"/>
    <mergeCell ref="L10:N11"/>
    <mergeCell ref="O10:P11"/>
    <mergeCell ref="E9:J9"/>
    <mergeCell ref="B6:D6"/>
    <mergeCell ref="E10:J10"/>
    <mergeCell ref="B7:D7"/>
    <mergeCell ref="B8:D8"/>
    <mergeCell ref="B28:D28"/>
    <mergeCell ref="B25:D25"/>
    <mergeCell ref="B26:D26"/>
    <mergeCell ref="B27:D27"/>
    <mergeCell ref="B9:D9"/>
    <mergeCell ref="B10:D10"/>
    <mergeCell ref="B11:D11"/>
    <mergeCell ref="B12:D12"/>
    <mergeCell ref="E11:J11"/>
    <mergeCell ref="E12:J12"/>
    <mergeCell ref="E13:J13"/>
    <mergeCell ref="B13:D13"/>
    <mergeCell ref="B31:D31"/>
    <mergeCell ref="N31:P31"/>
    <mergeCell ref="B35:D35"/>
    <mergeCell ref="N35:P35"/>
    <mergeCell ref="B36:D36"/>
    <mergeCell ref="N36:P36"/>
    <mergeCell ref="B34:D34"/>
    <mergeCell ref="N34:P34"/>
    <mergeCell ref="B33:D33"/>
    <mergeCell ref="N33:P33"/>
    <mergeCell ref="B32:D32"/>
    <mergeCell ref="N32:P32"/>
  </mergeCells>
  <pageMargins left="0.7" right="0.7" top="0.75" bottom="0.75" header="0.3" footer="0.3"/>
  <pageSetup paperSize="14" scale="58" orientation="landscape" horizontalDpi="4294967293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IndiceElectronico</vt:lpstr>
      <vt:lpstr>IndiceElectronico!Área_de_impresión</vt:lpstr>
    </vt:vector>
  </TitlesOfParts>
  <Company>Rama Judicial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Sebastian Martinez Valencia</dc:creator>
  <cp:lastModifiedBy>Sebastian Martinez Valencia</cp:lastModifiedBy>
  <cp:lastPrinted>2021-04-06T14:02:32Z</cp:lastPrinted>
  <dcterms:created xsi:type="dcterms:W3CDTF">2021-03-16T18:56:03Z</dcterms:created>
  <dcterms:modified xsi:type="dcterms:W3CDTF">2021-09-09T20:55:49Z</dcterms:modified>
</cp:coreProperties>
</file>